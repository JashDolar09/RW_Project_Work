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isk J\RW\Practice_Work\Excel\"/>
    </mc:Choice>
  </mc:AlternateContent>
  <xr:revisionPtr revIDLastSave="0" documentId="13_ncr:1_{978CED75-3F89-4646-A8ED-428E1BC0BA3B}" xr6:coauthVersionLast="47" xr6:coauthVersionMax="47" xr10:uidLastSave="{00000000-0000-0000-0000-000000000000}"/>
  <bookViews>
    <workbookView xWindow="-108" yWindow="-108" windowWidth="23256" windowHeight="12456" activeTab="2" xr2:uid="{1EFD7D49-75AD-4FA6-9FAC-C114DF841908}"/>
  </bookViews>
  <sheets>
    <sheet name="Student Grade" sheetId="1" r:id="rId1"/>
    <sheet name="Sale Data" sheetId="2" r:id="rId2"/>
    <sheet name="Employee Dat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3" l="1"/>
  <c r="N2" i="3"/>
  <c r="M2" i="3"/>
  <c r="L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" i="3"/>
  <c r="H2" i="3"/>
  <c r="S2" i="1" a="1"/>
  <c r="Q2" i="1"/>
  <c r="P2" i="1"/>
  <c r="G13" i="2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3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4" i="2"/>
  <c r="O3" i="2"/>
  <c r="O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" i="2"/>
  <c r="M19" i="2"/>
  <c r="M17" i="2" a="1"/>
  <c r="N14" i="2"/>
  <c r="M11" i="2"/>
  <c r="M2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3" i="2"/>
  <c r="J2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3" i="2"/>
  <c r="I2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3" i="2"/>
  <c r="H2" i="2"/>
  <c r="G4" i="2"/>
  <c r="G5" i="2"/>
  <c r="G6" i="2"/>
  <c r="G7" i="2"/>
  <c r="G8" i="2"/>
  <c r="G9" i="2"/>
  <c r="G10" i="2"/>
  <c r="G11" i="2"/>
  <c r="G12" i="2"/>
  <c r="G14" i="2"/>
  <c r="G15" i="2"/>
  <c r="G16" i="2"/>
  <c r="G17" i="2"/>
  <c r="G18" i="2"/>
  <c r="G19" i="2"/>
  <c r="G20" i="2"/>
  <c r="G21" i="2"/>
  <c r="G3" i="2"/>
  <c r="G2" i="2"/>
  <c r="N2" i="1"/>
  <c r="M2" i="1"/>
  <c r="L2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3" i="1"/>
  <c r="K2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3" i="1"/>
  <c r="J2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3" i="1"/>
  <c r="I2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3" i="1"/>
  <c r="H2" i="1"/>
  <c r="G5" i="1"/>
  <c r="G4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" i="1"/>
  <c r="G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<sst xmlns="http://schemas.openxmlformats.org/spreadsheetml/2006/main" count="180" uniqueCount="120">
  <si>
    <t>Employee ID</t>
  </si>
  <si>
    <t>Name</t>
  </si>
  <si>
    <t>Department</t>
  </si>
  <si>
    <t>Salary</t>
  </si>
  <si>
    <t>Joining Date</t>
  </si>
  <si>
    <t>Employee 1</t>
  </si>
  <si>
    <t>Finance</t>
  </si>
  <si>
    <t>Employee 2</t>
  </si>
  <si>
    <t>Employee 3</t>
  </si>
  <si>
    <t>HR</t>
  </si>
  <si>
    <t>Employee 4</t>
  </si>
  <si>
    <t>Employee 5</t>
  </si>
  <si>
    <t>IT</t>
  </si>
  <si>
    <t>Employee 6</t>
  </si>
  <si>
    <t>Employee 7</t>
  </si>
  <si>
    <t>Marketing</t>
  </si>
  <si>
    <t>Employee 8</t>
  </si>
  <si>
    <t>Employee 9</t>
  </si>
  <si>
    <t>Employee 10</t>
  </si>
  <si>
    <t>Employee 11</t>
  </si>
  <si>
    <t>Employee 12</t>
  </si>
  <si>
    <t>Employee 13</t>
  </si>
  <si>
    <t>Employee 14</t>
  </si>
  <si>
    <t>Employee 15</t>
  </si>
  <si>
    <t>Employee 16</t>
  </si>
  <si>
    <t>Employee 17</t>
  </si>
  <si>
    <t>Employee 18</t>
  </si>
  <si>
    <t>Employee 19</t>
  </si>
  <si>
    <t>Employee 20</t>
  </si>
  <si>
    <t>Sales ID</t>
  </si>
  <si>
    <t>Product</t>
  </si>
  <si>
    <t>Region</t>
  </si>
  <si>
    <t>Salesperson</t>
  </si>
  <si>
    <t>Amount</t>
  </si>
  <si>
    <t>Date</t>
  </si>
  <si>
    <t>Keyboard</t>
  </si>
  <si>
    <t>South</t>
  </si>
  <si>
    <t>Person 1</t>
  </si>
  <si>
    <t>Printer</t>
  </si>
  <si>
    <t>West</t>
  </si>
  <si>
    <t>Person 2</t>
  </si>
  <si>
    <t>Mouse</t>
  </si>
  <si>
    <t>Person 3</t>
  </si>
  <si>
    <t>East</t>
  </si>
  <si>
    <t>Person 4</t>
  </si>
  <si>
    <t>North</t>
  </si>
  <si>
    <t>Person 5</t>
  </si>
  <si>
    <t>Person 6</t>
  </si>
  <si>
    <t>Person 7</t>
  </si>
  <si>
    <t>Person 8</t>
  </si>
  <si>
    <t>Person 9</t>
  </si>
  <si>
    <t>Person 10</t>
  </si>
  <si>
    <t>Person 11</t>
  </si>
  <si>
    <t>Monitor</t>
  </si>
  <si>
    <t>Person 12</t>
  </si>
  <si>
    <t>Laptop</t>
  </si>
  <si>
    <t>Person 13</t>
  </si>
  <si>
    <t>Person 14</t>
  </si>
  <si>
    <t>Person 15</t>
  </si>
  <si>
    <t>Person 16</t>
  </si>
  <si>
    <t>Person 17</t>
  </si>
  <si>
    <t>Person 18</t>
  </si>
  <si>
    <t>Person 19</t>
  </si>
  <si>
    <t>Person 20</t>
  </si>
  <si>
    <t>Student ID</t>
  </si>
  <si>
    <t>Math</t>
  </si>
  <si>
    <t>Science</t>
  </si>
  <si>
    <t>English</t>
  </si>
  <si>
    <t>Enrollment Date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</si>
  <si>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</si>
  <si>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</si>
  <si>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</si>
  <si>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</si>
  <si>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</si>
  <si>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</si>
  <si>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</si>
  <si>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</si>
  <si>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</si>
  <si>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</si>
  <si>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</si>
  <si>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</si>
  <si>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</si>
  <si>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</si>
  <si>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</si>
  <si>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</si>
  <si>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</si>
  <si>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</si>
  <si>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</si>
  <si>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</si>
  <si>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Total Marks</t>
  </si>
  <si>
    <t>Average Marks</t>
  </si>
  <si>
    <t>Grade</t>
  </si>
  <si>
    <t>Math &amp; Science</t>
  </si>
  <si>
    <t>Eligibility</t>
  </si>
  <si>
    <t>Uppercase Name</t>
  </si>
  <si>
    <t>Lowercase Name</t>
  </si>
  <si>
    <t>First Word</t>
  </si>
  <si>
    <t>Rounded Amount</t>
  </si>
  <si>
    <t>Ceiling Amount</t>
  </si>
  <si>
    <t>Floor Amount</t>
  </si>
  <si>
    <t>Product Position</t>
  </si>
  <si>
    <t>Search Sales ID</t>
  </si>
  <si>
    <t>Sales Amount</t>
  </si>
  <si>
    <t>Total Sales</t>
  </si>
  <si>
    <t>Cell Reference</t>
  </si>
  <si>
    <t>Retrieved Value</t>
  </si>
  <si>
    <t>E2</t>
  </si>
  <si>
    <t>First 5 Sales Total</t>
  </si>
  <si>
    <t>Sales Category</t>
  </si>
  <si>
    <t>Sales Level</t>
  </si>
  <si>
    <t>Days Since Previous Sale</t>
  </si>
  <si>
    <t>Discount Rate</t>
  </si>
  <si>
    <t>Discount Amount</t>
  </si>
  <si>
    <t>Average Math Marks Above 60</t>
  </si>
  <si>
    <t>Students Above 60</t>
  </si>
  <si>
    <t>Students Scoring Above 80</t>
  </si>
  <si>
    <t>Search Employee ID</t>
  </si>
  <si>
    <t>Employee Salary</t>
  </si>
  <si>
    <t>Years of Service</t>
  </si>
  <si>
    <t>Employee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</si>
</sst>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9" formatCode="[$-F800]dddd\,\ mmmm\ dd\,\ yyyy"/>
    <numFmt numFmtId="171" formatCode="0.000"/>
  </numFmts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Arial Unicode MS"/>
    </font>
  </fonts>
  <fills count="6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22" fontId="3" fillId="0" borderId="7" xfId="0" applyNumberFormat="1" applyFont="1" applyBorder="1" applyAlignment="1">
      <alignment horizontal="center" vertical="center" wrapText="1"/>
    </xf>
    <xf numFmtId="0" fontId="0" fillId="0" borderId="6" xfId="0" applyBorder="1"/>
    <xf numFmtId="2" fontId="0" fillId="0" borderId="6" xfId="0" applyNumberFormat="1" applyBorder="1" applyAlignment="1">
      <alignment wrapText="1"/>
    </xf>
    <xf numFmtId="0" fontId="0" fillId="0" borderId="6" xfId="0" applyBorder="1" applyAlignment="1">
      <alignment wrapText="1"/>
    </xf>
    <xf numFmtId="0" fontId="2" fillId="2" borderId="8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0" fillId="0" borderId="0" xfId="0" applyBorder="1" applyAlignment="1">
      <alignment wrapText="1"/>
    </xf>
    <xf numFmtId="0" fontId="0" fillId="0" borderId="0" xfId="0" applyBorder="1"/>
    <xf numFmtId="0" fontId="0" fillId="0" borderId="11" xfId="0" applyBorder="1"/>
    <xf numFmtId="0" fontId="0" fillId="0" borderId="6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11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6" xfId="0" applyBorder="1" applyAlignment="1">
      <alignment vertical="top" wrapText="1"/>
    </xf>
    <xf numFmtId="0" fontId="0" fillId="0" borderId="0" xfId="0" applyBorder="1" applyAlignment="1">
      <alignment vertical="top" wrapText="1"/>
    </xf>
    <xf numFmtId="0" fontId="0" fillId="0" borderId="6" xfId="0" applyBorder="1" applyAlignment="1">
      <alignment horizontal="center"/>
    </xf>
    <xf numFmtId="0" fontId="1" fillId="3" borderId="6" xfId="0" applyFont="1" applyFill="1" applyBorder="1" applyAlignment="1">
      <alignment wrapText="1"/>
    </xf>
    <xf numFmtId="0" fontId="0" fillId="0" borderId="6" xfId="0" applyFont="1" applyBorder="1" applyAlignment="1">
      <alignment wrapText="1"/>
    </xf>
    <xf numFmtId="0" fontId="0" fillId="0" borderId="11" xfId="0" applyBorder="1" applyAlignment="1">
      <alignment horizontal="center" vertical="center" wrapText="1"/>
    </xf>
    <xf numFmtId="0" fontId="0" fillId="0" borderId="11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1" fillId="4" borderId="11" xfId="0" applyFont="1" applyFill="1" applyBorder="1" applyAlignment="1">
      <alignment vertical="top" wrapText="1"/>
    </xf>
    <xf numFmtId="0" fontId="1" fillId="4" borderId="6" xfId="0" applyFont="1" applyFill="1" applyBorder="1" applyAlignment="1">
      <alignment vertical="top" wrapText="1"/>
    </xf>
    <xf numFmtId="0" fontId="1" fillId="4" borderId="12" xfId="0" applyFont="1" applyFill="1" applyBorder="1" applyAlignment="1">
      <alignment vertical="center"/>
    </xf>
    <xf numFmtId="0" fontId="1" fillId="4" borderId="10" xfId="0" applyFont="1" applyFill="1" applyBorder="1" applyAlignment="1">
      <alignment vertical="center"/>
    </xf>
    <xf numFmtId="0" fontId="1" fillId="4" borderId="6" xfId="0" applyFont="1" applyFill="1" applyBorder="1" applyAlignment="1">
      <alignment vertical="center" wrapText="1"/>
    </xf>
    <xf numFmtId="0" fontId="1" fillId="4" borderId="11" xfId="0" applyFont="1" applyFill="1" applyBorder="1" applyAlignment="1">
      <alignment wrapText="1"/>
    </xf>
    <xf numFmtId="0" fontId="1" fillId="4" borderId="9" xfId="0" applyFont="1" applyFill="1" applyBorder="1" applyAlignment="1">
      <alignment vertical="center" wrapText="1"/>
    </xf>
    <xf numFmtId="0" fontId="0" fillId="0" borderId="13" xfId="0" applyBorder="1" applyAlignment="1">
      <alignment horizontal="left" vertical="center" wrapText="1"/>
    </xf>
    <xf numFmtId="0" fontId="1" fillId="5" borderId="6" xfId="0" applyFont="1" applyFill="1" applyBorder="1" applyAlignment="1">
      <alignment wrapText="1"/>
    </xf>
    <xf numFmtId="0" fontId="1" fillId="4" borderId="11" xfId="0" applyFont="1" applyFill="1" applyBorder="1" applyAlignment="1">
      <alignment vertical="center" wrapText="1"/>
    </xf>
    <xf numFmtId="0" fontId="1" fillId="5" borderId="6" xfId="0" applyFont="1" applyFill="1" applyBorder="1" applyAlignment="1">
      <alignment vertical="center" wrapText="1"/>
    </xf>
    <xf numFmtId="0" fontId="1" fillId="5" borderId="6" xfId="0" applyFont="1" applyFill="1" applyBorder="1" applyAlignment="1">
      <alignment vertical="center"/>
    </xf>
    <xf numFmtId="22" fontId="0" fillId="0" borderId="0" xfId="0" applyNumberFormat="1" applyAlignment="1">
      <alignment wrapText="1"/>
    </xf>
    <xf numFmtId="9" fontId="0" fillId="0" borderId="6" xfId="0" applyNumberFormat="1" applyBorder="1" applyAlignment="1">
      <alignment wrapText="1"/>
    </xf>
    <xf numFmtId="0" fontId="1" fillId="3" borderId="6" xfId="0" applyFont="1" applyFill="1" applyBorder="1" applyAlignment="1">
      <alignment vertical="center" wrapText="1"/>
    </xf>
    <xf numFmtId="171" fontId="0" fillId="0" borderId="6" xfId="0" applyNumberFormat="1" applyBorder="1"/>
    <xf numFmtId="0" fontId="4" fillId="3" borderId="6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left"/>
    </xf>
    <xf numFmtId="169" fontId="3" fillId="0" borderId="7" xfId="0" applyNumberFormat="1" applyFont="1" applyBorder="1" applyAlignment="1">
      <alignment horizontal="center" vertical="center" wrapText="1"/>
    </xf>
    <xf numFmtId="0" fontId="0" fillId="0" borderId="6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EA9AA-3D09-457E-AE8D-FC217C57E1EE}">
  <dimension ref="A1:X21"/>
  <sheetViews>
    <sheetView topLeftCell="B1" zoomScale="86" zoomScaleNormal="70" workbookViewId="0">
      <selection activeCell="A15" sqref="A15"/>
    </sheetView>
  </sheetViews>
  <sheetFormatPr defaultRowHeight="14.4"/>
  <cols>
    <col min="1" max="1" width="7.6640625" bestFit="1" customWidth="1"/>
    <col min="2" max="2" width="13.109375" customWidth="1"/>
    <col min="3" max="3" width="5.5546875" bestFit="1" customWidth="1"/>
    <col min="5" max="5" width="6.88671875" bestFit="1" customWidth="1"/>
    <col min="6" max="6" width="17.6640625" customWidth="1"/>
    <col min="7" max="7" width="10.88671875" bestFit="1" customWidth="1"/>
    <col min="9" max="9" width="6" bestFit="1" customWidth="1"/>
    <col min="10" max="10" width="14.33203125" bestFit="1" customWidth="1"/>
    <col min="11" max="11" width="11.88671875" customWidth="1"/>
    <col min="12" max="12" width="15.44140625" bestFit="1" customWidth="1"/>
    <col min="13" max="13" width="15.88671875" customWidth="1"/>
    <col min="14" max="14" width="9.5546875" bestFit="1" customWidth="1"/>
    <col min="16" max="16" width="9.88671875" customWidth="1"/>
    <col min="17" max="17" width="12" customWidth="1"/>
    <col min="19" max="19" width="11.6640625" customWidth="1"/>
  </cols>
  <sheetData>
    <row r="1" spans="1:24" ht="43.8" thickBot="1">
      <c r="A1" s="1" t="s">
        <v>64</v>
      </c>
      <c r="B1" s="2" t="s">
        <v>1</v>
      </c>
      <c r="C1" s="2" t="s">
        <v>65</v>
      </c>
      <c r="D1" s="2" t="s">
        <v>66</v>
      </c>
      <c r="E1" s="2" t="s">
        <v>67</v>
      </c>
      <c r="F1" s="2" t="s">
        <v>68</v>
      </c>
      <c r="G1" s="5" t="s">
        <v>89</v>
      </c>
      <c r="H1" s="5" t="s">
        <v>90</v>
      </c>
      <c r="I1" s="5" t="s">
        <v>91</v>
      </c>
      <c r="J1" s="5" t="s">
        <v>92</v>
      </c>
      <c r="K1" s="5" t="s">
        <v>93</v>
      </c>
      <c r="L1" s="5" t="s">
        <v>94</v>
      </c>
      <c r="M1" s="5" t="s">
        <v>95</v>
      </c>
      <c r="N1" s="5" t="s">
        <v>96</v>
      </c>
      <c r="P1" s="41" t="s">
        <v>114</v>
      </c>
      <c r="Q1" s="41" t="s">
        <v>113</v>
      </c>
      <c r="S1" s="43" t="s">
        <v>115</v>
      </c>
      <c r="T1" s="43"/>
      <c r="U1" s="43"/>
      <c r="V1" s="43"/>
      <c r="W1" s="43"/>
      <c r="X1" s="43"/>
    </row>
    <row r="2" spans="1:24" ht="15" thickBot="1">
      <c r="A2" s="3">
        <v>1001</v>
      </c>
      <c r="B2" s="4" t="s">
        <v>69</v>
      </c>
      <c r="C2" s="4">
        <v>61</v>
      </c>
      <c r="D2" s="4">
        <v>48</v>
      </c>
      <c r="E2" s="4">
        <v>76</v>
      </c>
      <c r="F2" s="6">
        <v>43101</v>
      </c>
      <c r="G2" s="7">
        <f>SUM(C2:E2)</f>
        <v>185</v>
      </c>
      <c r="H2" s="8">
        <f>AVERAGE(C2:E2)</f>
        <v>61.666666666666664</v>
      </c>
      <c r="I2" s="9" t="str">
        <f>IF(H2&gt;=80,"A",IF(H2&gt;=60,"B",IF(H2&gt;=40,"C","D")))</f>
        <v>B</v>
      </c>
      <c r="J2" s="9" t="str">
        <f>IF(AND(C2&gt;80,D2&gt;80),"Qualified","Not Qualified")</f>
        <v>Not Qualified</v>
      </c>
      <c r="K2" s="7" t="str">
        <f>IF(OR(C2&gt;80,E2&gt;80),"Eligible","Not Eligible")</f>
        <v>Not Eligible</v>
      </c>
      <c r="L2" s="14" t="str">
        <f>UPPER(B2)</f>
        <v>STUDENT 1</v>
      </c>
      <c r="M2" s="7" t="str">
        <f>LOWER(B2)</f>
        <v>student 1</v>
      </c>
      <c r="N2" s="7" t="str">
        <f>LEFT(B2,FIND(" ",B2)-1)</f>
        <v>Student</v>
      </c>
      <c r="P2" s="9">
        <f>COUNTIFS(C2:C21,"&gt;60")</f>
        <v>19</v>
      </c>
      <c r="Q2" s="42">
        <f>AVERAGEIFS(C2:C21,C2:C21,"&gt;60")</f>
        <v>82.263157894736835</v>
      </c>
      <c r="S2" s="44" cm="1">
        <f t="array" ref="S2:X11">_xlfn._xlws.FILTER(A2:F21,C2:C21&gt;80,"No Students Found")</f>
        <v>1003</v>
      </c>
      <c r="T2" s="7" t="str">
        <v>Student 3</v>
      </c>
      <c r="U2" s="7">
        <v>97</v>
      </c>
      <c r="V2" s="7">
        <v>60</v>
      </c>
      <c r="W2" s="7">
        <v>51</v>
      </c>
      <c r="X2" s="7">
        <v>43461</v>
      </c>
    </row>
    <row r="3" spans="1:24" ht="15" thickBot="1">
      <c r="A3" s="3">
        <v>1002</v>
      </c>
      <c r="B3" s="4" t="s">
        <v>70</v>
      </c>
      <c r="C3" s="4">
        <v>78</v>
      </c>
      <c r="D3" s="4">
        <v>76</v>
      </c>
      <c r="E3" s="4">
        <v>70</v>
      </c>
      <c r="F3" s="6">
        <v>43281</v>
      </c>
      <c r="G3" s="7">
        <f>SUM(C3:E3)</f>
        <v>224</v>
      </c>
      <c r="H3" s="8">
        <f>AVERAGE(C3:E3)</f>
        <v>74.666666666666671</v>
      </c>
      <c r="I3" s="9" t="str">
        <f>IF(H3&gt;=80,"A",IF(H3&gt;=60,"B",IF(H3&gt;=40,"C","D")))</f>
        <v>B</v>
      </c>
      <c r="J3" s="9" t="str">
        <f>IF(AND(C3&gt;80,D3&gt;80),"Qualified","Not Qualified")</f>
        <v>Not Qualified</v>
      </c>
      <c r="K3" s="7" t="str">
        <f>IF(OR(C3&gt;80,E3&gt;80),"Eligible","Not Eligible")</f>
        <v>Not Eligible</v>
      </c>
      <c r="L3" s="13"/>
      <c r="M3" s="13"/>
      <c r="N3" s="13"/>
      <c r="S3" s="44">
        <v>1008</v>
      </c>
      <c r="T3" s="7" t="str">
        <v>Student 8</v>
      </c>
      <c r="U3" s="7">
        <v>94</v>
      </c>
      <c r="V3" s="7">
        <v>67</v>
      </c>
      <c r="W3" s="7">
        <v>64</v>
      </c>
      <c r="X3" s="7">
        <v>44361</v>
      </c>
    </row>
    <row r="4" spans="1:24" ht="15" thickBot="1">
      <c r="A4" s="3">
        <v>1003</v>
      </c>
      <c r="B4" s="4" t="s">
        <v>71</v>
      </c>
      <c r="C4" s="4">
        <v>97</v>
      </c>
      <c r="D4" s="4">
        <v>60</v>
      </c>
      <c r="E4" s="4">
        <v>51</v>
      </c>
      <c r="F4" s="6">
        <v>43461</v>
      </c>
      <c r="G4" s="7">
        <f t="shared" ref="G4:G21" si="0">SUM(C4:E4)</f>
        <v>208</v>
      </c>
      <c r="H4" s="8">
        <f t="shared" ref="H4:H21" si="1">AVERAGE(C4:E4)</f>
        <v>69.333333333333329</v>
      </c>
      <c r="I4" s="9" t="str">
        <f t="shared" ref="I4:I21" si="2">IF(H4&gt;=80,"A",IF(H4&gt;=60,"B",IF(H4&gt;=40,"C","D")))</f>
        <v>B</v>
      </c>
      <c r="J4" s="9" t="str">
        <f t="shared" ref="J4:J21" si="3">IF(AND(C4&gt;80,D4&gt;80),"Qualified","Not Qualified")</f>
        <v>Not Qualified</v>
      </c>
      <c r="K4" s="7" t="str">
        <f t="shared" ref="K4:K21" si="4">IF(OR(C4&gt;80,E4&gt;80),"Eligible","Not Eligible")</f>
        <v>Eligible</v>
      </c>
      <c r="L4" s="13"/>
      <c r="M4" s="13"/>
      <c r="N4" s="13"/>
      <c r="S4" s="44">
        <v>1010</v>
      </c>
      <c r="T4" s="7" t="str">
        <v>Student 10</v>
      </c>
      <c r="U4" s="7">
        <v>98</v>
      </c>
      <c r="V4" s="7">
        <v>54</v>
      </c>
      <c r="W4" s="7">
        <v>58</v>
      </c>
      <c r="X4" s="7">
        <v>44721</v>
      </c>
    </row>
    <row r="5" spans="1:24" ht="15" thickBot="1">
      <c r="A5" s="3">
        <v>1004</v>
      </c>
      <c r="B5" s="4" t="s">
        <v>72</v>
      </c>
      <c r="C5" s="4">
        <v>74</v>
      </c>
      <c r="D5" s="4">
        <v>55</v>
      </c>
      <c r="E5" s="4">
        <v>46</v>
      </c>
      <c r="F5" s="6">
        <v>43641</v>
      </c>
      <c r="G5" s="7">
        <f>SUM(C5:E5)</f>
        <v>175</v>
      </c>
      <c r="H5" s="8">
        <f t="shared" si="1"/>
        <v>58.333333333333336</v>
      </c>
      <c r="I5" s="9" t="str">
        <f t="shared" si="2"/>
        <v>C</v>
      </c>
      <c r="J5" s="9" t="str">
        <f t="shared" si="3"/>
        <v>Not Qualified</v>
      </c>
      <c r="K5" s="7" t="str">
        <f t="shared" si="4"/>
        <v>Not Eligible</v>
      </c>
      <c r="L5" s="13"/>
      <c r="M5" s="13"/>
      <c r="N5" s="13"/>
      <c r="S5" s="44">
        <v>1012</v>
      </c>
      <c r="T5" s="7" t="str">
        <v>Student 12</v>
      </c>
      <c r="U5" s="7">
        <v>85</v>
      </c>
      <c r="V5" s="7">
        <v>89</v>
      </c>
      <c r="W5" s="7">
        <v>79</v>
      </c>
      <c r="X5" s="7">
        <v>45081</v>
      </c>
    </row>
    <row r="6" spans="1:24" ht="15" thickBot="1">
      <c r="A6" s="3">
        <v>1005</v>
      </c>
      <c r="B6" s="4" t="s">
        <v>73</v>
      </c>
      <c r="C6" s="4">
        <v>68</v>
      </c>
      <c r="D6" s="4">
        <v>74</v>
      </c>
      <c r="E6" s="4">
        <v>84</v>
      </c>
      <c r="F6" s="6">
        <v>43821</v>
      </c>
      <c r="G6" s="7">
        <f t="shared" si="0"/>
        <v>226</v>
      </c>
      <c r="H6" s="8">
        <f t="shared" si="1"/>
        <v>75.333333333333329</v>
      </c>
      <c r="I6" s="9" t="str">
        <f t="shared" si="2"/>
        <v>B</v>
      </c>
      <c r="J6" s="9" t="str">
        <f t="shared" si="3"/>
        <v>Not Qualified</v>
      </c>
      <c r="K6" s="7" t="str">
        <f t="shared" si="4"/>
        <v>Eligible</v>
      </c>
      <c r="L6" s="13"/>
      <c r="M6" s="13"/>
      <c r="N6" s="13"/>
      <c r="S6" s="44">
        <v>1013</v>
      </c>
      <c r="T6" s="7" t="str">
        <v>Student 13</v>
      </c>
      <c r="U6" s="7">
        <v>98</v>
      </c>
      <c r="V6" s="7">
        <v>90</v>
      </c>
      <c r="W6" s="7">
        <v>97</v>
      </c>
      <c r="X6" s="7">
        <v>45261</v>
      </c>
    </row>
    <row r="7" spans="1:24" ht="15" thickBot="1">
      <c r="A7" s="3">
        <v>1006</v>
      </c>
      <c r="B7" s="4" t="s">
        <v>74</v>
      </c>
      <c r="C7" s="4">
        <v>80</v>
      </c>
      <c r="D7" s="4">
        <v>70</v>
      </c>
      <c r="E7" s="4">
        <v>65</v>
      </c>
      <c r="F7" s="6">
        <v>44001</v>
      </c>
      <c r="G7" s="7">
        <f t="shared" si="0"/>
        <v>215</v>
      </c>
      <c r="H7" s="8">
        <f t="shared" si="1"/>
        <v>71.666666666666671</v>
      </c>
      <c r="I7" s="9" t="str">
        <f t="shared" si="2"/>
        <v>B</v>
      </c>
      <c r="J7" s="9" t="str">
        <f t="shared" si="3"/>
        <v>Not Qualified</v>
      </c>
      <c r="K7" s="7" t="str">
        <f t="shared" si="4"/>
        <v>Not Eligible</v>
      </c>
      <c r="L7" s="13"/>
      <c r="M7" s="13"/>
      <c r="N7" s="13"/>
      <c r="S7" s="44">
        <v>1014</v>
      </c>
      <c r="T7" s="7" t="str">
        <v>Student 14</v>
      </c>
      <c r="U7" s="7">
        <v>93</v>
      </c>
      <c r="V7" s="7">
        <v>40</v>
      </c>
      <c r="W7" s="7">
        <v>44</v>
      </c>
      <c r="X7" s="7">
        <v>45441</v>
      </c>
    </row>
    <row r="8" spans="1:24" ht="15" thickBot="1">
      <c r="A8" s="3">
        <v>1007</v>
      </c>
      <c r="B8" s="4" t="s">
        <v>75</v>
      </c>
      <c r="C8" s="4">
        <v>75</v>
      </c>
      <c r="D8" s="4">
        <v>47</v>
      </c>
      <c r="E8" s="4">
        <v>78</v>
      </c>
      <c r="F8" s="6">
        <v>44181</v>
      </c>
      <c r="G8" s="7">
        <f t="shared" si="0"/>
        <v>200</v>
      </c>
      <c r="H8" s="8">
        <f t="shared" si="1"/>
        <v>66.666666666666671</v>
      </c>
      <c r="I8" s="9" t="str">
        <f t="shared" si="2"/>
        <v>B</v>
      </c>
      <c r="J8" s="9" t="str">
        <f t="shared" si="3"/>
        <v>Not Qualified</v>
      </c>
      <c r="K8" s="7" t="str">
        <f t="shared" si="4"/>
        <v>Not Eligible</v>
      </c>
      <c r="L8" s="13"/>
      <c r="M8" s="13"/>
      <c r="N8" s="13"/>
      <c r="S8" s="44">
        <v>1016</v>
      </c>
      <c r="T8" s="7" t="str">
        <v>Student 16</v>
      </c>
      <c r="U8" s="7">
        <v>98</v>
      </c>
      <c r="V8" s="7">
        <v>77</v>
      </c>
      <c r="W8" s="7">
        <v>60</v>
      </c>
      <c r="X8" s="7">
        <v>45801</v>
      </c>
    </row>
    <row r="9" spans="1:24" ht="15" thickBot="1">
      <c r="A9" s="3">
        <v>1008</v>
      </c>
      <c r="B9" s="4" t="s">
        <v>76</v>
      </c>
      <c r="C9" s="4">
        <v>94</v>
      </c>
      <c r="D9" s="4">
        <v>67</v>
      </c>
      <c r="E9" s="4">
        <v>64</v>
      </c>
      <c r="F9" s="6">
        <v>44361</v>
      </c>
      <c r="G9" s="7">
        <f t="shared" si="0"/>
        <v>225</v>
      </c>
      <c r="H9" s="8">
        <f t="shared" si="1"/>
        <v>75</v>
      </c>
      <c r="I9" s="9" t="str">
        <f t="shared" si="2"/>
        <v>B</v>
      </c>
      <c r="J9" s="9" t="str">
        <f t="shared" si="3"/>
        <v>Not Qualified</v>
      </c>
      <c r="K9" s="7" t="str">
        <f t="shared" si="4"/>
        <v>Eligible</v>
      </c>
      <c r="L9" s="13"/>
      <c r="M9" s="13"/>
      <c r="N9" s="13"/>
      <c r="S9" s="44">
        <v>1018</v>
      </c>
      <c r="T9" s="7" t="str">
        <v>Student 18</v>
      </c>
      <c r="U9" s="7">
        <v>82</v>
      </c>
      <c r="V9" s="7">
        <v>48</v>
      </c>
      <c r="W9" s="7">
        <v>79</v>
      </c>
      <c r="X9" s="7">
        <v>46161</v>
      </c>
    </row>
    <row r="10" spans="1:24" ht="15" thickBot="1">
      <c r="A10" s="3">
        <v>1009</v>
      </c>
      <c r="B10" s="4" t="s">
        <v>77</v>
      </c>
      <c r="C10" s="4">
        <v>41</v>
      </c>
      <c r="D10" s="4">
        <v>75</v>
      </c>
      <c r="E10" s="4">
        <v>56</v>
      </c>
      <c r="F10" s="6">
        <v>44541</v>
      </c>
      <c r="G10" s="7">
        <f t="shared" si="0"/>
        <v>172</v>
      </c>
      <c r="H10" s="8">
        <f t="shared" si="1"/>
        <v>57.333333333333336</v>
      </c>
      <c r="I10" s="9" t="str">
        <f t="shared" si="2"/>
        <v>C</v>
      </c>
      <c r="J10" s="9" t="str">
        <f t="shared" si="3"/>
        <v>Not Qualified</v>
      </c>
      <c r="K10" s="7" t="str">
        <f t="shared" si="4"/>
        <v>Not Eligible</v>
      </c>
      <c r="L10" s="13"/>
      <c r="M10" s="13"/>
      <c r="N10" s="13"/>
      <c r="S10" s="44">
        <v>1019</v>
      </c>
      <c r="T10" s="7" t="str">
        <v>Student 19</v>
      </c>
      <c r="U10" s="7">
        <v>90</v>
      </c>
      <c r="V10" s="7">
        <v>78</v>
      </c>
      <c r="W10" s="7">
        <v>60</v>
      </c>
      <c r="X10" s="7">
        <v>46341</v>
      </c>
    </row>
    <row r="11" spans="1:24" ht="15" thickBot="1">
      <c r="A11" s="3">
        <v>1010</v>
      </c>
      <c r="B11" s="4" t="s">
        <v>78</v>
      </c>
      <c r="C11" s="4">
        <v>98</v>
      </c>
      <c r="D11" s="4">
        <v>54</v>
      </c>
      <c r="E11" s="4">
        <v>58</v>
      </c>
      <c r="F11" s="6">
        <v>44721</v>
      </c>
      <c r="G11" s="7">
        <f t="shared" si="0"/>
        <v>210</v>
      </c>
      <c r="H11" s="8">
        <f t="shared" si="1"/>
        <v>70</v>
      </c>
      <c r="I11" s="9" t="str">
        <f t="shared" si="2"/>
        <v>B</v>
      </c>
      <c r="J11" s="9" t="str">
        <f t="shared" si="3"/>
        <v>Not Qualified</v>
      </c>
      <c r="K11" s="7" t="str">
        <f t="shared" si="4"/>
        <v>Eligible</v>
      </c>
      <c r="L11" s="13"/>
      <c r="M11" s="13"/>
      <c r="N11" s="13"/>
      <c r="S11" s="44">
        <v>1020</v>
      </c>
      <c r="T11" s="7" t="str">
        <v>Student 20</v>
      </c>
      <c r="U11" s="7">
        <v>83</v>
      </c>
      <c r="V11" s="7">
        <v>92</v>
      </c>
      <c r="W11" s="7">
        <v>55</v>
      </c>
      <c r="X11" s="7">
        <v>46521</v>
      </c>
    </row>
    <row r="12" spans="1:24" ht="15" thickBot="1">
      <c r="A12" s="3">
        <v>1011</v>
      </c>
      <c r="B12" s="4" t="s">
        <v>79</v>
      </c>
      <c r="C12" s="4">
        <v>73</v>
      </c>
      <c r="D12" s="4">
        <v>79</v>
      </c>
      <c r="E12" s="4">
        <v>53</v>
      </c>
      <c r="F12" s="6">
        <v>44901</v>
      </c>
      <c r="G12" s="7">
        <f t="shared" si="0"/>
        <v>205</v>
      </c>
      <c r="H12" s="8">
        <f t="shared" si="1"/>
        <v>68.333333333333329</v>
      </c>
      <c r="I12" s="9" t="str">
        <f t="shared" si="2"/>
        <v>B</v>
      </c>
      <c r="J12" s="9" t="str">
        <f t="shared" si="3"/>
        <v>Not Qualified</v>
      </c>
      <c r="K12" s="7" t="str">
        <f t="shared" si="4"/>
        <v>Not Eligible</v>
      </c>
      <c r="L12" s="13"/>
      <c r="M12" s="13"/>
      <c r="N12" s="13"/>
    </row>
    <row r="13" spans="1:24" ht="15" thickBot="1">
      <c r="A13" s="3">
        <v>1012</v>
      </c>
      <c r="B13" s="4" t="s">
        <v>80</v>
      </c>
      <c r="C13" s="4">
        <v>85</v>
      </c>
      <c r="D13" s="4">
        <v>89</v>
      </c>
      <c r="E13" s="4">
        <v>79</v>
      </c>
      <c r="F13" s="6">
        <v>45081</v>
      </c>
      <c r="G13" s="7">
        <f t="shared" si="0"/>
        <v>253</v>
      </c>
      <c r="H13" s="8">
        <f t="shared" si="1"/>
        <v>84.333333333333329</v>
      </c>
      <c r="I13" s="9" t="str">
        <f t="shared" si="2"/>
        <v>A</v>
      </c>
      <c r="J13" s="9" t="str">
        <f t="shared" si="3"/>
        <v>Qualified</v>
      </c>
      <c r="K13" s="7" t="str">
        <f t="shared" si="4"/>
        <v>Eligible</v>
      </c>
      <c r="L13" s="13"/>
      <c r="M13" s="13"/>
      <c r="N13" s="13"/>
    </row>
    <row r="14" spans="1:24" ht="15" thickBot="1">
      <c r="A14" s="3">
        <v>1013</v>
      </c>
      <c r="B14" s="4" t="s">
        <v>81</v>
      </c>
      <c r="C14" s="4">
        <v>98</v>
      </c>
      <c r="D14" s="4">
        <v>90</v>
      </c>
      <c r="E14" s="4">
        <v>97</v>
      </c>
      <c r="F14" s="6">
        <v>45261</v>
      </c>
      <c r="G14" s="7">
        <f t="shared" si="0"/>
        <v>285</v>
      </c>
      <c r="H14" s="8">
        <f t="shared" si="1"/>
        <v>95</v>
      </c>
      <c r="I14" s="9" t="str">
        <f t="shared" si="2"/>
        <v>A</v>
      </c>
      <c r="J14" s="9" t="str">
        <f t="shared" si="3"/>
        <v>Qualified</v>
      </c>
      <c r="K14" s="7" t="str">
        <f t="shared" si="4"/>
        <v>Eligible</v>
      </c>
      <c r="L14" s="13"/>
      <c r="M14" s="13"/>
      <c r="N14" s="13"/>
    </row>
    <row r="15" spans="1:24" ht="15" thickBot="1">
      <c r="A15" s="3">
        <v>1014</v>
      </c>
      <c r="B15" s="4" t="s">
        <v>82</v>
      </c>
      <c r="C15" s="4">
        <v>93</v>
      </c>
      <c r="D15" s="4">
        <v>40</v>
      </c>
      <c r="E15" s="4">
        <v>44</v>
      </c>
      <c r="F15" s="6">
        <v>45441</v>
      </c>
      <c r="G15" s="7">
        <f t="shared" si="0"/>
        <v>177</v>
      </c>
      <c r="H15" s="8">
        <f t="shared" si="1"/>
        <v>59</v>
      </c>
      <c r="I15" s="9" t="str">
        <f t="shared" si="2"/>
        <v>C</v>
      </c>
      <c r="J15" s="9" t="str">
        <f t="shared" si="3"/>
        <v>Not Qualified</v>
      </c>
      <c r="K15" s="7" t="str">
        <f t="shared" si="4"/>
        <v>Eligible</v>
      </c>
      <c r="L15" s="13"/>
      <c r="M15" s="13"/>
      <c r="N15" s="13"/>
    </row>
    <row r="16" spans="1:24" ht="15" thickBot="1">
      <c r="A16" s="3">
        <v>1015</v>
      </c>
      <c r="B16" s="4" t="s">
        <v>83</v>
      </c>
      <c r="C16" s="4">
        <v>70</v>
      </c>
      <c r="D16" s="4">
        <v>51</v>
      </c>
      <c r="E16" s="4">
        <v>75</v>
      </c>
      <c r="F16" s="6">
        <v>45621</v>
      </c>
      <c r="G16" s="7">
        <f t="shared" si="0"/>
        <v>196</v>
      </c>
      <c r="H16" s="8">
        <f t="shared" si="1"/>
        <v>65.333333333333329</v>
      </c>
      <c r="I16" s="9" t="str">
        <f t="shared" si="2"/>
        <v>B</v>
      </c>
      <c r="J16" s="9" t="str">
        <f t="shared" si="3"/>
        <v>Not Qualified</v>
      </c>
      <c r="K16" s="7" t="str">
        <f t="shared" si="4"/>
        <v>Not Eligible</v>
      </c>
      <c r="L16" s="13"/>
      <c r="M16" s="13"/>
      <c r="N16" s="13"/>
    </row>
    <row r="17" spans="1:14" ht="15" thickBot="1">
      <c r="A17" s="3">
        <v>1016</v>
      </c>
      <c r="B17" s="4" t="s">
        <v>84</v>
      </c>
      <c r="C17" s="4">
        <v>98</v>
      </c>
      <c r="D17" s="4">
        <v>77</v>
      </c>
      <c r="E17" s="4">
        <v>60</v>
      </c>
      <c r="F17" s="6">
        <v>45801</v>
      </c>
      <c r="G17" s="7">
        <f t="shared" si="0"/>
        <v>235</v>
      </c>
      <c r="H17" s="8">
        <f t="shared" si="1"/>
        <v>78.333333333333329</v>
      </c>
      <c r="I17" s="9" t="str">
        <f t="shared" si="2"/>
        <v>B</v>
      </c>
      <c r="J17" s="9" t="str">
        <f t="shared" si="3"/>
        <v>Not Qualified</v>
      </c>
      <c r="K17" s="7" t="str">
        <f t="shared" si="4"/>
        <v>Eligible</v>
      </c>
      <c r="L17" s="13"/>
      <c r="M17" s="13"/>
      <c r="N17" s="13"/>
    </row>
    <row r="18" spans="1:14" ht="15" thickBot="1">
      <c r="A18" s="3">
        <v>1017</v>
      </c>
      <c r="B18" s="4" t="s">
        <v>85</v>
      </c>
      <c r="C18" s="4">
        <v>66</v>
      </c>
      <c r="D18" s="4">
        <v>59</v>
      </c>
      <c r="E18" s="4">
        <v>40</v>
      </c>
      <c r="F18" s="6">
        <v>45981</v>
      </c>
      <c r="G18" s="7">
        <f t="shared" si="0"/>
        <v>165</v>
      </c>
      <c r="H18" s="8">
        <f t="shared" si="1"/>
        <v>55</v>
      </c>
      <c r="I18" s="9" t="str">
        <f t="shared" si="2"/>
        <v>C</v>
      </c>
      <c r="J18" s="9" t="str">
        <f t="shared" si="3"/>
        <v>Not Qualified</v>
      </c>
      <c r="K18" s="7" t="str">
        <f t="shared" si="4"/>
        <v>Not Eligible</v>
      </c>
      <c r="L18" s="13"/>
      <c r="M18" s="13"/>
      <c r="N18" s="13"/>
    </row>
    <row r="19" spans="1:14" ht="15" thickBot="1">
      <c r="A19" s="3">
        <v>1018</v>
      </c>
      <c r="B19" s="4" t="s">
        <v>86</v>
      </c>
      <c r="C19" s="4">
        <v>82</v>
      </c>
      <c r="D19" s="4">
        <v>48</v>
      </c>
      <c r="E19" s="4">
        <v>79</v>
      </c>
      <c r="F19" s="6">
        <v>46161</v>
      </c>
      <c r="G19" s="7">
        <f t="shared" si="0"/>
        <v>209</v>
      </c>
      <c r="H19" s="8">
        <f t="shared" si="1"/>
        <v>69.666666666666671</v>
      </c>
      <c r="I19" s="9" t="str">
        <f t="shared" si="2"/>
        <v>B</v>
      </c>
      <c r="J19" s="9" t="str">
        <f t="shared" si="3"/>
        <v>Not Qualified</v>
      </c>
      <c r="K19" s="7" t="str">
        <f t="shared" si="4"/>
        <v>Eligible</v>
      </c>
      <c r="L19" s="13"/>
      <c r="M19" s="13"/>
      <c r="N19" s="13"/>
    </row>
    <row r="20" spans="1:14" ht="15" thickBot="1">
      <c r="A20" s="3">
        <v>1019</v>
      </c>
      <c r="B20" s="4" t="s">
        <v>87</v>
      </c>
      <c r="C20" s="4">
        <v>90</v>
      </c>
      <c r="D20" s="4">
        <v>78</v>
      </c>
      <c r="E20" s="4">
        <v>60</v>
      </c>
      <c r="F20" s="6">
        <v>46341</v>
      </c>
      <c r="G20" s="7">
        <f t="shared" si="0"/>
        <v>228</v>
      </c>
      <c r="H20" s="8">
        <f t="shared" si="1"/>
        <v>76</v>
      </c>
      <c r="I20" s="9" t="str">
        <f t="shared" si="2"/>
        <v>B</v>
      </c>
      <c r="J20" s="9" t="str">
        <f t="shared" si="3"/>
        <v>Not Qualified</v>
      </c>
      <c r="K20" s="7" t="str">
        <f t="shared" si="4"/>
        <v>Eligible</v>
      </c>
      <c r="L20" s="13"/>
      <c r="M20" s="13"/>
      <c r="N20" s="13"/>
    </row>
    <row r="21" spans="1:14" ht="15" thickBot="1">
      <c r="A21" s="3">
        <v>1020</v>
      </c>
      <c r="B21" s="4" t="s">
        <v>88</v>
      </c>
      <c r="C21" s="4">
        <v>83</v>
      </c>
      <c r="D21" s="4">
        <v>92</v>
      </c>
      <c r="E21" s="4">
        <v>55</v>
      </c>
      <c r="F21" s="6">
        <v>46521</v>
      </c>
      <c r="G21" s="7">
        <f t="shared" si="0"/>
        <v>230</v>
      </c>
      <c r="H21" s="8">
        <f t="shared" si="1"/>
        <v>76.666666666666671</v>
      </c>
      <c r="I21" s="9" t="str">
        <f t="shared" si="2"/>
        <v>B</v>
      </c>
      <c r="J21" s="9" t="str">
        <f t="shared" si="3"/>
        <v>Qualified</v>
      </c>
      <c r="K21" s="7" t="str">
        <f t="shared" si="4"/>
        <v>Eligible</v>
      </c>
      <c r="L21" s="13"/>
      <c r="M21" s="13"/>
      <c r="N21" s="13"/>
    </row>
  </sheetData>
  <mergeCells count="1">
    <mergeCell ref="S1:X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F258C-FD30-4229-80A0-C3C6F902D343}">
  <dimension ref="A1:T21"/>
  <sheetViews>
    <sheetView workbookViewId="0">
      <selection activeCell="L10" sqref="L10:P17"/>
    </sheetView>
  </sheetViews>
  <sheetFormatPr defaultRowHeight="14.4"/>
  <cols>
    <col min="1" max="1" width="7.5546875" customWidth="1"/>
    <col min="2" max="2" width="12.6640625" customWidth="1"/>
    <col min="3" max="3" width="9.109375" customWidth="1"/>
    <col min="4" max="4" width="11.88671875" customWidth="1"/>
    <col min="6" max="6" width="15.44140625" bestFit="1" customWidth="1"/>
    <col min="7" max="7" width="12.6640625" customWidth="1"/>
    <col min="8" max="8" width="11.6640625" customWidth="1"/>
    <col min="9" max="9" width="13.109375" customWidth="1"/>
    <col min="10" max="10" width="12.77734375" customWidth="1"/>
    <col min="12" max="12" width="16.5546875" customWidth="1"/>
    <col min="13" max="13" width="14.33203125" customWidth="1"/>
    <col min="14" max="14" width="10" customWidth="1"/>
    <col min="15" max="15" width="10.6640625" customWidth="1"/>
    <col min="16" max="16" width="11.33203125" customWidth="1"/>
    <col min="17" max="17" width="12.44140625" customWidth="1"/>
  </cols>
  <sheetData>
    <row r="1" spans="1:20" ht="29.4" thickBot="1">
      <c r="A1" s="1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10" t="s">
        <v>34</v>
      </c>
      <c r="G1" s="11" t="s">
        <v>97</v>
      </c>
      <c r="H1" s="11" t="s">
        <v>98</v>
      </c>
      <c r="I1" s="11" t="s">
        <v>99</v>
      </c>
      <c r="J1" s="11" t="s">
        <v>100</v>
      </c>
      <c r="K1" s="22" t="s">
        <v>108</v>
      </c>
      <c r="L1" s="36" t="s">
        <v>101</v>
      </c>
      <c r="M1" s="31" t="s">
        <v>102</v>
      </c>
      <c r="N1" s="16"/>
      <c r="O1" s="37" t="s">
        <v>109</v>
      </c>
      <c r="P1" s="38" t="s">
        <v>93</v>
      </c>
      <c r="Q1" s="37" t="s">
        <v>110</v>
      </c>
      <c r="S1" s="35" t="s">
        <v>111</v>
      </c>
      <c r="T1" s="35" t="s">
        <v>112</v>
      </c>
    </row>
    <row r="2" spans="1:20" ht="15" thickBot="1">
      <c r="A2" s="3">
        <v>2001</v>
      </c>
      <c r="B2" s="4" t="s">
        <v>35</v>
      </c>
      <c r="C2" s="4" t="s">
        <v>36</v>
      </c>
      <c r="D2" s="4" t="s">
        <v>37</v>
      </c>
      <c r="E2" s="4">
        <v>7048</v>
      </c>
      <c r="F2" s="6">
        <v>44927</v>
      </c>
      <c r="G2" s="7">
        <f>ROUND(E2, -2)</f>
        <v>7000</v>
      </c>
      <c r="H2" s="7">
        <f>CEILING(E2, 100)</f>
        <v>7100</v>
      </c>
      <c r="I2" s="7">
        <f>FLOOR(E2, 100)</f>
        <v>7000</v>
      </c>
      <c r="J2" s="21">
        <f>_xlfn.XMATCH(B2, B2:B21, 0)</f>
        <v>1</v>
      </c>
      <c r="K2" s="7" t="str">
        <f>IF(E2&gt;=30000,"High","Normal")</f>
        <v>Normal</v>
      </c>
      <c r="L2" s="24">
        <v>2005</v>
      </c>
      <c r="M2" s="26">
        <f>VLOOKUP(L2,A2:E21,5,FALSE)</f>
        <v>43388</v>
      </c>
      <c r="N2" s="16"/>
      <c r="O2" s="7" t="str">
        <f>IF(E2&gt;=30000,"High",IF(E2&gt;=15000,"Medium","Low"))</f>
        <v>Low</v>
      </c>
      <c r="P2" s="7" t="str">
        <f>IF(OR(E2&gt;=30000,C2="South"),"Eligible","Not Eligible")</f>
        <v>Eligible</v>
      </c>
      <c r="Q2" s="39"/>
      <c r="S2" s="40">
        <v>0.1</v>
      </c>
      <c r="T2" s="9">
        <f>E2*$S$2</f>
        <v>704.80000000000007</v>
      </c>
    </row>
    <row r="3" spans="1:20" ht="15" thickBot="1">
      <c r="A3" s="3">
        <v>2002</v>
      </c>
      <c r="B3" s="4" t="s">
        <v>38</v>
      </c>
      <c r="C3" s="4" t="s">
        <v>39</v>
      </c>
      <c r="D3" s="4" t="s">
        <v>40</v>
      </c>
      <c r="E3" s="4">
        <v>17428</v>
      </c>
      <c r="F3" s="6">
        <v>44942</v>
      </c>
      <c r="G3" s="7">
        <f>ROUND(E3, -2)</f>
        <v>17400</v>
      </c>
      <c r="H3" s="7">
        <f>CEILING(E3, 100)</f>
        <v>17500</v>
      </c>
      <c r="I3" s="7">
        <f>FLOOR(E3, 100)</f>
        <v>17400</v>
      </c>
      <c r="J3" s="21">
        <f>_xlfn.XMATCH(B3,$B$2:$B$21,0)</f>
        <v>2</v>
      </c>
      <c r="K3" s="7" t="str">
        <f t="shared" ref="K3:K21" si="0">IF(E3&gt;=30000,"High","Normal")</f>
        <v>Normal</v>
      </c>
      <c r="L3" s="16"/>
      <c r="M3" s="16"/>
      <c r="N3" s="16"/>
      <c r="O3" s="7" t="str">
        <f>IF(E3&gt;=30000,"High",IF(E3&gt;=15000,"Medium","Low"))</f>
        <v>Medium</v>
      </c>
      <c r="P3" s="7" t="str">
        <f t="shared" ref="P3:P21" si="1">IF(OR(E3&gt;=30000,C3="South"),"Eligible","Not Eligible")</f>
        <v>Not Eligible</v>
      </c>
      <c r="Q3" s="9">
        <f>F3-F2</f>
        <v>15</v>
      </c>
      <c r="S3" s="40">
        <v>0.1</v>
      </c>
      <c r="T3" s="9">
        <f t="shared" ref="S3:T21" si="2">E3*$S$2</f>
        <v>1742.8000000000002</v>
      </c>
    </row>
    <row r="4" spans="1:20" ht="15" thickBot="1">
      <c r="A4" s="3">
        <v>2003</v>
      </c>
      <c r="B4" s="4" t="s">
        <v>41</v>
      </c>
      <c r="C4" s="4" t="s">
        <v>36</v>
      </c>
      <c r="D4" s="4" t="s">
        <v>42</v>
      </c>
      <c r="E4" s="4">
        <v>23672</v>
      </c>
      <c r="F4" s="6">
        <v>44957</v>
      </c>
      <c r="G4" s="7">
        <f t="shared" ref="G4:G21" si="3">ROUND(E4, -2)</f>
        <v>23700</v>
      </c>
      <c r="H4" s="7">
        <f t="shared" ref="H4:H21" si="4">CEILING(E4, 100)</f>
        <v>23700</v>
      </c>
      <c r="I4" s="7">
        <f t="shared" ref="I4:I21" si="5">FLOOR(E4, 100)</f>
        <v>23600</v>
      </c>
      <c r="J4" s="21">
        <f t="shared" ref="J4:J21" si="6">_xlfn.XMATCH(B4,$B$2:$B$21,0)</f>
        <v>3</v>
      </c>
      <c r="K4" s="7" t="str">
        <f t="shared" si="0"/>
        <v>Normal</v>
      </c>
      <c r="L4" s="16"/>
      <c r="M4" s="16"/>
      <c r="N4" s="16"/>
      <c r="O4" s="7" t="str">
        <f>IF(E4&gt;=30000,"High",IF(E4&gt;=15000,"Medium","Low"))</f>
        <v>Medium</v>
      </c>
      <c r="P4" s="7" t="str">
        <f t="shared" si="1"/>
        <v>Eligible</v>
      </c>
      <c r="Q4" s="9">
        <f t="shared" ref="Q4:Q21" si="7">F4-F3</f>
        <v>15</v>
      </c>
      <c r="S4" s="40">
        <v>0.1</v>
      </c>
      <c r="T4" s="9">
        <f t="shared" si="2"/>
        <v>2367.2000000000003</v>
      </c>
    </row>
    <row r="5" spans="1:20" ht="15" thickBot="1">
      <c r="A5" s="3">
        <v>2004</v>
      </c>
      <c r="B5" s="4" t="s">
        <v>38</v>
      </c>
      <c r="C5" s="4" t="s">
        <v>43</v>
      </c>
      <c r="D5" s="4" t="s">
        <v>44</v>
      </c>
      <c r="E5" s="4">
        <v>5264</v>
      </c>
      <c r="F5" s="6">
        <v>44972</v>
      </c>
      <c r="G5" s="7">
        <f t="shared" si="3"/>
        <v>5300</v>
      </c>
      <c r="H5" s="7">
        <f t="shared" si="4"/>
        <v>5300</v>
      </c>
      <c r="I5" s="7">
        <f t="shared" si="5"/>
        <v>5200</v>
      </c>
      <c r="J5" s="21">
        <f t="shared" si="6"/>
        <v>2</v>
      </c>
      <c r="K5" s="7" t="str">
        <f t="shared" si="0"/>
        <v>Normal</v>
      </c>
      <c r="L5" s="16"/>
      <c r="M5" s="16"/>
      <c r="N5" s="16"/>
      <c r="O5" s="7" t="str">
        <f t="shared" ref="O5:O21" si="8">IF(E5&gt;=30000,"High",IF(E5&gt;=15000,"Medium","Low"))</f>
        <v>Low</v>
      </c>
      <c r="P5" s="7" t="str">
        <f t="shared" si="1"/>
        <v>Not Eligible</v>
      </c>
      <c r="Q5" s="9">
        <f t="shared" si="7"/>
        <v>15</v>
      </c>
      <c r="S5" s="40">
        <v>0.1</v>
      </c>
      <c r="T5" s="9">
        <f t="shared" si="2"/>
        <v>526.4</v>
      </c>
    </row>
    <row r="6" spans="1:20" ht="15" thickBot="1">
      <c r="A6" s="3">
        <v>2005</v>
      </c>
      <c r="B6" s="4" t="s">
        <v>35</v>
      </c>
      <c r="C6" s="4" t="s">
        <v>45</v>
      </c>
      <c r="D6" s="4" t="s">
        <v>46</v>
      </c>
      <c r="E6" s="4">
        <v>43388</v>
      </c>
      <c r="F6" s="6">
        <v>44987</v>
      </c>
      <c r="G6" s="7">
        <f t="shared" si="3"/>
        <v>43400</v>
      </c>
      <c r="H6" s="7">
        <f t="shared" si="4"/>
        <v>43400</v>
      </c>
      <c r="I6" s="7">
        <f t="shared" si="5"/>
        <v>43300</v>
      </c>
      <c r="J6" s="21">
        <f t="shared" si="6"/>
        <v>1</v>
      </c>
      <c r="K6" s="7" t="str">
        <f t="shared" si="0"/>
        <v>High</v>
      </c>
      <c r="L6" s="16"/>
      <c r="M6" s="16"/>
      <c r="N6" s="16"/>
      <c r="O6" s="7" t="str">
        <f t="shared" si="8"/>
        <v>High</v>
      </c>
      <c r="P6" s="7" t="str">
        <f t="shared" si="1"/>
        <v>Eligible</v>
      </c>
      <c r="Q6" s="9">
        <f t="shared" si="7"/>
        <v>15</v>
      </c>
      <c r="S6" s="40">
        <v>0.1</v>
      </c>
      <c r="T6" s="9">
        <f t="shared" si="2"/>
        <v>4338.8</v>
      </c>
    </row>
    <row r="7" spans="1:20" ht="15" thickBot="1">
      <c r="A7" s="3">
        <v>2006</v>
      </c>
      <c r="B7" s="4" t="s">
        <v>41</v>
      </c>
      <c r="C7" s="4" t="s">
        <v>45</v>
      </c>
      <c r="D7" s="4" t="s">
        <v>47</v>
      </c>
      <c r="E7" s="4">
        <v>19757</v>
      </c>
      <c r="F7" s="6">
        <v>45002</v>
      </c>
      <c r="G7" s="7">
        <f t="shared" si="3"/>
        <v>19800</v>
      </c>
      <c r="H7" s="7">
        <f t="shared" si="4"/>
        <v>19800</v>
      </c>
      <c r="I7" s="7">
        <f t="shared" si="5"/>
        <v>19700</v>
      </c>
      <c r="J7" s="21">
        <f t="shared" si="6"/>
        <v>3</v>
      </c>
      <c r="K7" s="7" t="str">
        <f t="shared" si="0"/>
        <v>Normal</v>
      </c>
      <c r="L7" s="16"/>
      <c r="M7" s="16"/>
      <c r="N7" s="16"/>
      <c r="O7" s="7" t="str">
        <f t="shared" si="8"/>
        <v>Medium</v>
      </c>
      <c r="P7" s="7" t="str">
        <f t="shared" si="1"/>
        <v>Not Eligible</v>
      </c>
      <c r="Q7" s="9">
        <f t="shared" si="7"/>
        <v>15</v>
      </c>
      <c r="S7" s="40">
        <v>0.1</v>
      </c>
      <c r="T7" s="9">
        <f t="shared" si="2"/>
        <v>1975.7</v>
      </c>
    </row>
    <row r="8" spans="1:20" ht="15" thickBot="1">
      <c r="A8" s="3">
        <v>2007</v>
      </c>
      <c r="B8" s="4" t="s">
        <v>41</v>
      </c>
      <c r="C8" s="4" t="s">
        <v>43</v>
      </c>
      <c r="D8" s="4" t="s">
        <v>48</v>
      </c>
      <c r="E8" s="4">
        <v>32058</v>
      </c>
      <c r="F8" s="6">
        <v>45017</v>
      </c>
      <c r="G8" s="7">
        <f t="shared" si="3"/>
        <v>32100</v>
      </c>
      <c r="H8" s="7">
        <f t="shared" si="4"/>
        <v>32100</v>
      </c>
      <c r="I8" s="7">
        <f t="shared" si="5"/>
        <v>32000</v>
      </c>
      <c r="J8" s="21">
        <f t="shared" si="6"/>
        <v>3</v>
      </c>
      <c r="K8" s="7" t="str">
        <f t="shared" si="0"/>
        <v>High</v>
      </c>
      <c r="L8" s="16"/>
      <c r="M8" s="16"/>
      <c r="N8" s="16"/>
      <c r="O8" s="7" t="str">
        <f t="shared" si="8"/>
        <v>High</v>
      </c>
      <c r="P8" s="7" t="str">
        <f t="shared" si="1"/>
        <v>Eligible</v>
      </c>
      <c r="Q8" s="9">
        <f t="shared" si="7"/>
        <v>15</v>
      </c>
      <c r="S8" s="40">
        <v>0.1</v>
      </c>
      <c r="T8" s="9">
        <f t="shared" si="2"/>
        <v>3205.8</v>
      </c>
    </row>
    <row r="9" spans="1:20" ht="15" thickBot="1">
      <c r="A9" s="3">
        <v>2008</v>
      </c>
      <c r="B9" s="4" t="s">
        <v>35</v>
      </c>
      <c r="C9" s="4" t="s">
        <v>43</v>
      </c>
      <c r="D9" s="4" t="s">
        <v>49</v>
      </c>
      <c r="E9" s="4">
        <v>46429</v>
      </c>
      <c r="F9" s="6">
        <v>45032</v>
      </c>
      <c r="G9" s="7">
        <f t="shared" si="3"/>
        <v>46400</v>
      </c>
      <c r="H9" s="7">
        <f t="shared" si="4"/>
        <v>46500</v>
      </c>
      <c r="I9" s="7">
        <f t="shared" si="5"/>
        <v>46400</v>
      </c>
      <c r="J9" s="21">
        <f t="shared" si="6"/>
        <v>1</v>
      </c>
      <c r="K9" s="7" t="str">
        <f t="shared" si="0"/>
        <v>High</v>
      </c>
      <c r="L9" s="16"/>
      <c r="M9" s="16"/>
      <c r="N9" s="16"/>
      <c r="O9" s="7" t="str">
        <f t="shared" si="8"/>
        <v>High</v>
      </c>
      <c r="P9" s="7" t="str">
        <f t="shared" si="1"/>
        <v>Eligible</v>
      </c>
      <c r="Q9" s="9">
        <f t="shared" si="7"/>
        <v>15</v>
      </c>
      <c r="S9" s="40">
        <v>0.1</v>
      </c>
      <c r="T9" s="9">
        <f t="shared" si="2"/>
        <v>4642.9000000000005</v>
      </c>
    </row>
    <row r="10" spans="1:20" ht="15" thickBot="1">
      <c r="A10" s="3">
        <v>2009</v>
      </c>
      <c r="B10" s="4" t="s">
        <v>38</v>
      </c>
      <c r="C10" s="4" t="s">
        <v>43</v>
      </c>
      <c r="D10" s="4" t="s">
        <v>50</v>
      </c>
      <c r="E10" s="4">
        <v>19746</v>
      </c>
      <c r="F10" s="6">
        <v>45047</v>
      </c>
      <c r="G10" s="7">
        <f t="shared" si="3"/>
        <v>19700</v>
      </c>
      <c r="H10" s="7">
        <f t="shared" si="4"/>
        <v>19800</v>
      </c>
      <c r="I10" s="7">
        <f t="shared" si="5"/>
        <v>19700</v>
      </c>
      <c r="J10" s="21">
        <f t="shared" si="6"/>
        <v>2</v>
      </c>
      <c r="K10" s="7" t="str">
        <f t="shared" si="0"/>
        <v>Normal</v>
      </c>
      <c r="L10" s="27" t="s">
        <v>32</v>
      </c>
      <c r="M10" s="28" t="s">
        <v>102</v>
      </c>
      <c r="N10" s="16"/>
      <c r="O10" s="7" t="str">
        <f t="shared" si="8"/>
        <v>Medium</v>
      </c>
      <c r="P10" s="7" t="str">
        <f t="shared" si="1"/>
        <v>Not Eligible</v>
      </c>
      <c r="Q10" s="9">
        <f t="shared" si="7"/>
        <v>15</v>
      </c>
      <c r="S10" s="40">
        <v>0.1</v>
      </c>
      <c r="T10" s="9">
        <f t="shared" si="2"/>
        <v>1974.6000000000001</v>
      </c>
    </row>
    <row r="11" spans="1:20" ht="15" thickBot="1">
      <c r="A11" s="3">
        <v>2010</v>
      </c>
      <c r="B11" s="4" t="s">
        <v>35</v>
      </c>
      <c r="C11" s="4" t="s">
        <v>36</v>
      </c>
      <c r="D11" s="4" t="s">
        <v>51</v>
      </c>
      <c r="E11" s="4">
        <v>35185</v>
      </c>
      <c r="F11" s="6">
        <v>45062</v>
      </c>
      <c r="G11" s="7">
        <f t="shared" si="3"/>
        <v>35200</v>
      </c>
      <c r="H11" s="7">
        <f t="shared" si="4"/>
        <v>35200</v>
      </c>
      <c r="I11" s="7">
        <f t="shared" si="5"/>
        <v>35100</v>
      </c>
      <c r="J11" s="21">
        <f t="shared" si="6"/>
        <v>1</v>
      </c>
      <c r="K11" s="7" t="str">
        <f t="shared" si="0"/>
        <v>High</v>
      </c>
      <c r="L11" s="25" t="s">
        <v>49</v>
      </c>
      <c r="M11" s="15">
        <f>INDEX(E2:E21,MATCH(L11,D2:D21,0))</f>
        <v>46429</v>
      </c>
      <c r="N11" s="16"/>
      <c r="O11" s="7" t="str">
        <f t="shared" si="8"/>
        <v>High</v>
      </c>
      <c r="P11" s="7" t="str">
        <f t="shared" si="1"/>
        <v>Eligible</v>
      </c>
      <c r="Q11" s="9">
        <f t="shared" si="7"/>
        <v>15</v>
      </c>
      <c r="S11" s="40">
        <v>0.1</v>
      </c>
      <c r="T11" s="9">
        <f t="shared" si="2"/>
        <v>3518.5</v>
      </c>
    </row>
    <row r="12" spans="1:20" ht="15" thickBot="1">
      <c r="A12" s="3">
        <v>2011</v>
      </c>
      <c r="B12" s="4" t="s">
        <v>35</v>
      </c>
      <c r="C12" s="4" t="s">
        <v>43</v>
      </c>
      <c r="D12" s="4" t="s">
        <v>52</v>
      </c>
      <c r="E12" s="4">
        <v>33920</v>
      </c>
      <c r="F12" s="6">
        <v>45077</v>
      </c>
      <c r="G12" s="7">
        <f t="shared" si="3"/>
        <v>33900</v>
      </c>
      <c r="H12" s="7">
        <f t="shared" si="4"/>
        <v>34000</v>
      </c>
      <c r="I12" s="7">
        <f t="shared" si="5"/>
        <v>33900</v>
      </c>
      <c r="J12" s="21">
        <f t="shared" si="6"/>
        <v>1</v>
      </c>
      <c r="K12" s="7" t="str">
        <f t="shared" si="0"/>
        <v>High</v>
      </c>
      <c r="L12" s="16"/>
      <c r="M12" s="16"/>
      <c r="N12" s="16"/>
      <c r="O12" s="7" t="str">
        <f t="shared" si="8"/>
        <v>High</v>
      </c>
      <c r="P12" s="7" t="str">
        <f t="shared" si="1"/>
        <v>Eligible</v>
      </c>
      <c r="Q12" s="9">
        <f t="shared" si="7"/>
        <v>15</v>
      </c>
      <c r="S12" s="40">
        <v>0.1</v>
      </c>
      <c r="T12" s="9">
        <f t="shared" si="2"/>
        <v>3392</v>
      </c>
    </row>
    <row r="13" spans="1:20" ht="15" thickBot="1">
      <c r="A13" s="3">
        <v>2012</v>
      </c>
      <c r="B13" s="4" t="s">
        <v>53</v>
      </c>
      <c r="C13" s="4" t="s">
        <v>45</v>
      </c>
      <c r="D13" s="4" t="s">
        <v>54</v>
      </c>
      <c r="E13" s="4">
        <v>35611</v>
      </c>
      <c r="F13" s="6">
        <v>45092</v>
      </c>
      <c r="G13" s="7">
        <f t="shared" si="3"/>
        <v>35600</v>
      </c>
      <c r="H13" s="7">
        <f t="shared" si="4"/>
        <v>35700</v>
      </c>
      <c r="I13" s="7">
        <f t="shared" si="5"/>
        <v>35600</v>
      </c>
      <c r="J13" s="21">
        <f t="shared" si="6"/>
        <v>12</v>
      </c>
      <c r="K13" s="7" t="str">
        <f t="shared" si="0"/>
        <v>High</v>
      </c>
      <c r="L13" s="29" t="s">
        <v>31</v>
      </c>
      <c r="M13" s="30" t="s">
        <v>30</v>
      </c>
      <c r="N13" s="33" t="s">
        <v>103</v>
      </c>
      <c r="O13" s="7" t="str">
        <f t="shared" si="8"/>
        <v>High</v>
      </c>
      <c r="P13" s="7" t="str">
        <f t="shared" si="1"/>
        <v>Eligible</v>
      </c>
      <c r="Q13" s="9">
        <f t="shared" si="7"/>
        <v>15</v>
      </c>
      <c r="S13" s="40">
        <v>0.1</v>
      </c>
      <c r="T13" s="9">
        <f t="shared" si="2"/>
        <v>3561.1000000000004</v>
      </c>
    </row>
    <row r="14" spans="1:20" ht="15" thickBot="1">
      <c r="A14" s="3">
        <v>2013</v>
      </c>
      <c r="B14" s="4" t="s">
        <v>55</v>
      </c>
      <c r="C14" s="4" t="s">
        <v>43</v>
      </c>
      <c r="D14" s="4" t="s">
        <v>56</v>
      </c>
      <c r="E14" s="4">
        <v>15560</v>
      </c>
      <c r="F14" s="6">
        <v>45107</v>
      </c>
      <c r="G14" s="7">
        <f t="shared" si="3"/>
        <v>15600</v>
      </c>
      <c r="H14" s="7">
        <f t="shared" si="4"/>
        <v>15600</v>
      </c>
      <c r="I14" s="7">
        <f t="shared" si="5"/>
        <v>15500</v>
      </c>
      <c r="J14" s="21">
        <f t="shared" si="6"/>
        <v>13</v>
      </c>
      <c r="K14" s="7" t="str">
        <f t="shared" si="0"/>
        <v>Normal</v>
      </c>
      <c r="L14" s="17" t="s">
        <v>36</v>
      </c>
      <c r="M14" s="18" t="s">
        <v>35</v>
      </c>
      <c r="N14" s="34">
        <f>SUMIFS(E2:E21,C2:C21,L14,B2:B21,M14)</f>
        <v>42233</v>
      </c>
      <c r="O14" s="7" t="str">
        <f t="shared" si="8"/>
        <v>Medium</v>
      </c>
      <c r="P14" s="7" t="str">
        <f t="shared" si="1"/>
        <v>Not Eligible</v>
      </c>
      <c r="Q14" s="9">
        <f t="shared" si="7"/>
        <v>15</v>
      </c>
      <c r="S14" s="40">
        <v>0.1</v>
      </c>
      <c r="T14" s="9">
        <f t="shared" si="2"/>
        <v>1556</v>
      </c>
    </row>
    <row r="15" spans="1:20" ht="15" thickBot="1">
      <c r="A15" s="3">
        <v>2014</v>
      </c>
      <c r="B15" s="4" t="s">
        <v>55</v>
      </c>
      <c r="C15" s="4" t="s">
        <v>36</v>
      </c>
      <c r="D15" s="4" t="s">
        <v>57</v>
      </c>
      <c r="E15" s="4">
        <v>7283</v>
      </c>
      <c r="F15" s="6">
        <v>45122</v>
      </c>
      <c r="G15" s="7">
        <f t="shared" si="3"/>
        <v>7300</v>
      </c>
      <c r="H15" s="7">
        <f t="shared" si="4"/>
        <v>7300</v>
      </c>
      <c r="I15" s="7">
        <f t="shared" si="5"/>
        <v>7200</v>
      </c>
      <c r="J15" s="21">
        <f t="shared" si="6"/>
        <v>13</v>
      </c>
      <c r="K15" s="7" t="str">
        <f t="shared" si="0"/>
        <v>Normal</v>
      </c>
      <c r="L15" s="16"/>
      <c r="M15" s="16"/>
      <c r="N15" s="16"/>
      <c r="O15" s="7" t="str">
        <f t="shared" si="8"/>
        <v>Low</v>
      </c>
      <c r="P15" s="7" t="str">
        <f t="shared" si="1"/>
        <v>Eligible</v>
      </c>
      <c r="Q15" s="9">
        <f t="shared" si="7"/>
        <v>15</v>
      </c>
      <c r="S15" s="40">
        <v>0.1</v>
      </c>
      <c r="T15" s="9">
        <f t="shared" si="2"/>
        <v>728.30000000000007</v>
      </c>
    </row>
    <row r="16" spans="1:20" ht="15" thickBot="1">
      <c r="A16" s="3">
        <v>2015</v>
      </c>
      <c r="B16" s="4" t="s">
        <v>55</v>
      </c>
      <c r="C16" s="4" t="s">
        <v>43</v>
      </c>
      <c r="D16" s="4" t="s">
        <v>58</v>
      </c>
      <c r="E16" s="4">
        <v>15678</v>
      </c>
      <c r="F16" s="6">
        <v>45137</v>
      </c>
      <c r="G16" s="7">
        <f t="shared" si="3"/>
        <v>15700</v>
      </c>
      <c r="H16" s="7">
        <f t="shared" si="4"/>
        <v>15700</v>
      </c>
      <c r="I16" s="7">
        <f t="shared" si="5"/>
        <v>15600</v>
      </c>
      <c r="J16" s="21">
        <f t="shared" si="6"/>
        <v>13</v>
      </c>
      <c r="K16" s="7" t="str">
        <f t="shared" si="0"/>
        <v>Normal</v>
      </c>
      <c r="L16" s="27" t="s">
        <v>104</v>
      </c>
      <c r="M16" s="28" t="s">
        <v>105</v>
      </c>
      <c r="N16" s="16"/>
      <c r="O16" s="7" t="str">
        <f t="shared" si="8"/>
        <v>Medium</v>
      </c>
      <c r="P16" s="7" t="str">
        <f t="shared" si="1"/>
        <v>Not Eligible</v>
      </c>
      <c r="Q16" s="9">
        <f t="shared" si="7"/>
        <v>15</v>
      </c>
      <c r="S16" s="40">
        <v>0.1</v>
      </c>
      <c r="T16" s="9">
        <f t="shared" si="2"/>
        <v>1567.8000000000002</v>
      </c>
    </row>
    <row r="17" spans="1:20" ht="15" thickBot="1">
      <c r="A17" s="3">
        <v>2016</v>
      </c>
      <c r="B17" s="4" t="s">
        <v>41</v>
      </c>
      <c r="C17" s="4" t="s">
        <v>43</v>
      </c>
      <c r="D17" s="4" t="s">
        <v>59</v>
      </c>
      <c r="E17" s="4">
        <v>5277</v>
      </c>
      <c r="F17" s="6">
        <v>45152</v>
      </c>
      <c r="G17" s="7">
        <f t="shared" si="3"/>
        <v>5300</v>
      </c>
      <c r="H17" s="7">
        <f t="shared" si="4"/>
        <v>5300</v>
      </c>
      <c r="I17" s="7">
        <f t="shared" si="5"/>
        <v>5200</v>
      </c>
      <c r="J17" s="21">
        <f t="shared" si="6"/>
        <v>3</v>
      </c>
      <c r="K17" s="7" t="str">
        <f t="shared" si="0"/>
        <v>Normal</v>
      </c>
      <c r="L17" s="19" t="s">
        <v>106</v>
      </c>
      <c r="M17" s="19" cm="1">
        <f t="array" aca="1" ref="M17" ca="1">INDIRECT(L17)</f>
        <v>7048</v>
      </c>
      <c r="N17" s="16"/>
      <c r="O17" s="7" t="str">
        <f t="shared" si="8"/>
        <v>Low</v>
      </c>
      <c r="P17" s="7" t="str">
        <f t="shared" si="1"/>
        <v>Not Eligible</v>
      </c>
      <c r="Q17" s="9">
        <f t="shared" si="7"/>
        <v>15</v>
      </c>
      <c r="S17" s="40">
        <v>0.1</v>
      </c>
      <c r="T17" s="9">
        <f t="shared" si="2"/>
        <v>527.70000000000005</v>
      </c>
    </row>
    <row r="18" spans="1:20" ht="15" thickBot="1">
      <c r="A18" s="3">
        <v>2017</v>
      </c>
      <c r="B18" s="4" t="s">
        <v>53</v>
      </c>
      <c r="C18" s="4" t="s">
        <v>45</v>
      </c>
      <c r="D18" s="4" t="s">
        <v>60</v>
      </c>
      <c r="E18" s="4">
        <v>41871</v>
      </c>
      <c r="F18" s="6">
        <v>45167</v>
      </c>
      <c r="G18" s="7">
        <f t="shared" si="3"/>
        <v>41900</v>
      </c>
      <c r="H18" s="7">
        <f t="shared" si="4"/>
        <v>41900</v>
      </c>
      <c r="I18" s="7">
        <f t="shared" si="5"/>
        <v>41800</v>
      </c>
      <c r="J18" s="21">
        <f t="shared" si="6"/>
        <v>12</v>
      </c>
      <c r="K18" s="7" t="str">
        <f t="shared" si="0"/>
        <v>High</v>
      </c>
      <c r="L18" s="20"/>
      <c r="M18" s="20"/>
      <c r="N18" s="16"/>
      <c r="O18" s="7" t="str">
        <f t="shared" si="8"/>
        <v>High</v>
      </c>
      <c r="P18" s="7" t="str">
        <f t="shared" si="1"/>
        <v>Eligible</v>
      </c>
      <c r="Q18" s="9">
        <f t="shared" si="7"/>
        <v>15</v>
      </c>
      <c r="S18" s="40">
        <v>0.1</v>
      </c>
      <c r="T18" s="9">
        <f t="shared" si="2"/>
        <v>4187.1000000000004</v>
      </c>
    </row>
    <row r="19" spans="1:20" ht="15" thickBot="1">
      <c r="A19" s="3">
        <v>2018</v>
      </c>
      <c r="B19" s="4" t="s">
        <v>53</v>
      </c>
      <c r="C19" s="4" t="s">
        <v>39</v>
      </c>
      <c r="D19" s="4" t="s">
        <v>61</v>
      </c>
      <c r="E19" s="4">
        <v>38161</v>
      </c>
      <c r="F19" s="6">
        <v>45182</v>
      </c>
      <c r="G19" s="7">
        <f t="shared" si="3"/>
        <v>38200</v>
      </c>
      <c r="H19" s="7">
        <f t="shared" si="4"/>
        <v>38200</v>
      </c>
      <c r="I19" s="7">
        <f t="shared" si="5"/>
        <v>38100</v>
      </c>
      <c r="J19" s="21">
        <f t="shared" si="6"/>
        <v>12</v>
      </c>
      <c r="K19" s="7" t="str">
        <f t="shared" si="0"/>
        <v>High</v>
      </c>
      <c r="L19" s="32" t="s">
        <v>107</v>
      </c>
      <c r="M19" s="23">
        <f ca="1">SUM(OFFSET(E2,0,0,5,1))</f>
        <v>96800</v>
      </c>
      <c r="N19" s="16"/>
      <c r="O19" s="7" t="str">
        <f t="shared" si="8"/>
        <v>High</v>
      </c>
      <c r="P19" s="7" t="str">
        <f t="shared" si="1"/>
        <v>Eligible</v>
      </c>
      <c r="Q19" s="9">
        <f t="shared" si="7"/>
        <v>15</v>
      </c>
      <c r="S19" s="40">
        <v>0.1</v>
      </c>
      <c r="T19" s="9">
        <f t="shared" si="2"/>
        <v>3816.1000000000004</v>
      </c>
    </row>
    <row r="20" spans="1:20" ht="15" thickBot="1">
      <c r="A20" s="3">
        <v>2019</v>
      </c>
      <c r="B20" s="4" t="s">
        <v>41</v>
      </c>
      <c r="C20" s="4" t="s">
        <v>39</v>
      </c>
      <c r="D20" s="4" t="s">
        <v>62</v>
      </c>
      <c r="E20" s="4">
        <v>30436</v>
      </c>
      <c r="F20" s="6">
        <v>45197</v>
      </c>
      <c r="G20" s="7">
        <f t="shared" si="3"/>
        <v>30400</v>
      </c>
      <c r="H20" s="7">
        <f t="shared" si="4"/>
        <v>30500</v>
      </c>
      <c r="I20" s="7">
        <f t="shared" si="5"/>
        <v>30400</v>
      </c>
      <c r="J20" s="21">
        <f t="shared" si="6"/>
        <v>3</v>
      </c>
      <c r="K20" s="7" t="str">
        <f t="shared" si="0"/>
        <v>High</v>
      </c>
      <c r="L20" s="12"/>
      <c r="M20" s="12"/>
      <c r="N20" s="12"/>
      <c r="O20" s="7" t="str">
        <f t="shared" si="8"/>
        <v>High</v>
      </c>
      <c r="P20" s="7" t="str">
        <f t="shared" si="1"/>
        <v>Eligible</v>
      </c>
      <c r="Q20" s="9">
        <f t="shared" si="7"/>
        <v>15</v>
      </c>
      <c r="S20" s="40">
        <v>0.1</v>
      </c>
      <c r="T20" s="9">
        <f t="shared" si="2"/>
        <v>3043.6000000000004</v>
      </c>
    </row>
    <row r="21" spans="1:20" ht="15" thickBot="1">
      <c r="A21" s="3">
        <v>2020</v>
      </c>
      <c r="B21" s="4" t="s">
        <v>38</v>
      </c>
      <c r="C21" s="4" t="s">
        <v>39</v>
      </c>
      <c r="D21" s="4" t="s">
        <v>63</v>
      </c>
      <c r="E21" s="4">
        <v>33953</v>
      </c>
      <c r="F21" s="6">
        <v>45212</v>
      </c>
      <c r="G21" s="7">
        <f t="shared" si="3"/>
        <v>34000</v>
      </c>
      <c r="H21" s="7">
        <f t="shared" si="4"/>
        <v>34000</v>
      </c>
      <c r="I21" s="7">
        <f t="shared" si="5"/>
        <v>33900</v>
      </c>
      <c r="J21" s="21">
        <f t="shared" si="6"/>
        <v>2</v>
      </c>
      <c r="K21" s="7" t="str">
        <f t="shared" si="0"/>
        <v>High</v>
      </c>
      <c r="L21" s="12"/>
      <c r="M21" s="12"/>
      <c r="N21" s="12"/>
      <c r="O21" s="7" t="str">
        <f t="shared" si="8"/>
        <v>High</v>
      </c>
      <c r="P21" s="7" t="str">
        <f t="shared" si="1"/>
        <v>Eligible</v>
      </c>
      <c r="Q21" s="9">
        <f t="shared" si="7"/>
        <v>15</v>
      </c>
      <c r="S21" s="40">
        <v>0.1</v>
      </c>
      <c r="T21" s="9">
        <f t="shared" si="2"/>
        <v>3395.3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D0F85-7BD6-49D7-B24F-8F093124461C}">
  <dimension ref="A1:N21"/>
  <sheetViews>
    <sheetView tabSelected="1" workbookViewId="0">
      <selection activeCell="M14" sqref="M14"/>
    </sheetView>
  </sheetViews>
  <sheetFormatPr defaultRowHeight="14.4"/>
  <cols>
    <col min="1" max="1" width="10.44140625" customWidth="1"/>
    <col min="2" max="2" width="14.33203125" customWidth="1"/>
    <col min="3" max="3" width="15.21875" customWidth="1"/>
    <col min="5" max="5" width="21.109375" customWidth="1"/>
    <col min="6" max="6" width="12.5546875" customWidth="1"/>
    <col min="7" max="7" width="11" customWidth="1"/>
    <col min="8" max="8" width="9.88671875" customWidth="1"/>
    <col min="10" max="10" width="13.5546875" customWidth="1"/>
    <col min="11" max="11" width="11.21875" customWidth="1"/>
    <col min="12" max="12" width="10.6640625" customWidth="1"/>
    <col min="13" max="13" width="10.77734375" customWidth="1"/>
  </cols>
  <sheetData>
    <row r="1" spans="1:14" ht="58.2" thickBot="1">
      <c r="A1" s="1" t="s">
        <v>0</v>
      </c>
      <c r="B1" s="2" t="s">
        <v>1</v>
      </c>
      <c r="C1" s="2" t="s">
        <v>2</v>
      </c>
      <c r="D1" s="2" t="s">
        <v>3</v>
      </c>
      <c r="E1" s="10" t="s">
        <v>4</v>
      </c>
      <c r="F1" s="41" t="s">
        <v>118</v>
      </c>
      <c r="G1" s="41" t="s">
        <v>116</v>
      </c>
      <c r="H1" s="41" t="s">
        <v>117</v>
      </c>
      <c r="J1" s="41" t="s">
        <v>116</v>
      </c>
      <c r="K1" s="41" t="s">
        <v>119</v>
      </c>
      <c r="L1" s="41" t="s">
        <v>94</v>
      </c>
      <c r="M1" s="41" t="s">
        <v>95</v>
      </c>
      <c r="N1" s="41" t="s">
        <v>96</v>
      </c>
    </row>
    <row r="2" spans="1:14" ht="29.4" thickBot="1">
      <c r="A2" s="3">
        <v>3001</v>
      </c>
      <c r="B2" s="4" t="s">
        <v>5</v>
      </c>
      <c r="C2" s="4" t="s">
        <v>6</v>
      </c>
      <c r="D2" s="4">
        <v>86766</v>
      </c>
      <c r="E2" s="45">
        <v>42005</v>
      </c>
      <c r="F2" s="46">
        <f ca="1">IF(E2&gt;TODAY(),"Not Joined Yet",DATEDIF(E2,TODAY(),"Y"))</f>
        <v>11</v>
      </c>
      <c r="G2" s="21">
        <v>3018</v>
      </c>
      <c r="H2" s="21">
        <f>_xlfn.XLOOKUP(G2,A2:A21,D2:D21,"Not Found")</f>
        <v>116284</v>
      </c>
      <c r="J2" s="18">
        <v>3018</v>
      </c>
      <c r="K2" s="21" t="str">
        <f>INDEX(C2:C21,MATCH(J2,A2:A21,0))</f>
        <v>IT</v>
      </c>
      <c r="L2" s="9" t="str">
        <f>UPPER(B2)</f>
        <v>EMPLOYEE 1</v>
      </c>
      <c r="M2" s="15" t="str">
        <f>LOWER(B2)</f>
        <v>employee 1</v>
      </c>
      <c r="N2" s="15" t="str">
        <f>LEFT(B2,FIND(" ",B2)-1)</f>
        <v>Employee</v>
      </c>
    </row>
    <row r="3" spans="1:14" ht="15" thickBot="1">
      <c r="A3" s="3">
        <v>3002</v>
      </c>
      <c r="B3" s="4" t="s">
        <v>7</v>
      </c>
      <c r="C3" s="4" t="s">
        <v>6</v>
      </c>
      <c r="D3" s="4">
        <v>31943</v>
      </c>
      <c r="E3" s="6">
        <v>42255</v>
      </c>
      <c r="F3" s="46">
        <f t="shared" ref="F3:F21" ca="1" si="0">IF(E3&gt;TODAY(),"Not Joined Yet",DATEDIF(E3,TODAY(),"Y"))</f>
        <v>11</v>
      </c>
    </row>
    <row r="4" spans="1:14" ht="15" thickBot="1">
      <c r="A4" s="3">
        <v>3003</v>
      </c>
      <c r="B4" s="4" t="s">
        <v>8</v>
      </c>
      <c r="C4" s="4" t="s">
        <v>9</v>
      </c>
      <c r="D4" s="4">
        <v>63374</v>
      </c>
      <c r="E4" s="6">
        <v>42505</v>
      </c>
      <c r="F4" s="46">
        <f t="shared" ca="1" si="0"/>
        <v>10</v>
      </c>
    </row>
    <row r="5" spans="1:14" ht="15" thickBot="1">
      <c r="A5" s="3">
        <v>3004</v>
      </c>
      <c r="B5" s="4" t="s">
        <v>10</v>
      </c>
      <c r="C5" s="4" t="s">
        <v>6</v>
      </c>
      <c r="D5" s="4">
        <v>109972</v>
      </c>
      <c r="E5" s="6">
        <v>42755</v>
      </c>
      <c r="F5" s="46">
        <f t="shared" ca="1" si="0"/>
        <v>9</v>
      </c>
    </row>
    <row r="6" spans="1:14" ht="15" thickBot="1">
      <c r="A6" s="3">
        <v>3005</v>
      </c>
      <c r="B6" s="4" t="s">
        <v>11</v>
      </c>
      <c r="C6" s="4" t="s">
        <v>12</v>
      </c>
      <c r="D6" s="4">
        <v>54149</v>
      </c>
      <c r="E6" s="6">
        <v>43005</v>
      </c>
      <c r="F6" s="46">
        <f t="shared" ca="1" si="0"/>
        <v>9</v>
      </c>
    </row>
    <row r="7" spans="1:14" ht="15" thickBot="1">
      <c r="A7" s="3">
        <v>3006</v>
      </c>
      <c r="B7" s="4" t="s">
        <v>13</v>
      </c>
      <c r="C7" s="4" t="s">
        <v>12</v>
      </c>
      <c r="D7" s="4">
        <v>78689</v>
      </c>
      <c r="E7" s="6">
        <v>43255</v>
      </c>
      <c r="F7" s="46">
        <f t="shared" ca="1" si="0"/>
        <v>8</v>
      </c>
    </row>
    <row r="8" spans="1:14" ht="15" thickBot="1">
      <c r="A8" s="3">
        <v>3007</v>
      </c>
      <c r="B8" s="4" t="s">
        <v>14</v>
      </c>
      <c r="C8" s="4" t="s">
        <v>15</v>
      </c>
      <c r="D8" s="4">
        <v>35960</v>
      </c>
      <c r="E8" s="6">
        <v>43505</v>
      </c>
      <c r="F8" s="46">
        <f t="shared" ca="1" si="0"/>
        <v>7</v>
      </c>
    </row>
    <row r="9" spans="1:14" ht="15" thickBot="1">
      <c r="A9" s="3">
        <v>3008</v>
      </c>
      <c r="B9" s="4" t="s">
        <v>16</v>
      </c>
      <c r="C9" s="4" t="s">
        <v>12</v>
      </c>
      <c r="D9" s="4">
        <v>91659</v>
      </c>
      <c r="E9" s="6">
        <v>43755</v>
      </c>
      <c r="F9" s="46">
        <f t="shared" ca="1" si="0"/>
        <v>7</v>
      </c>
    </row>
    <row r="10" spans="1:14" ht="15" thickBot="1">
      <c r="A10" s="3">
        <v>3009</v>
      </c>
      <c r="B10" s="4" t="s">
        <v>17</v>
      </c>
      <c r="C10" s="4" t="s">
        <v>12</v>
      </c>
      <c r="D10" s="4">
        <v>90423</v>
      </c>
      <c r="E10" s="6">
        <v>44005</v>
      </c>
      <c r="F10" s="46">
        <f t="shared" ca="1" si="0"/>
        <v>6</v>
      </c>
    </row>
    <row r="11" spans="1:14" ht="15" thickBot="1">
      <c r="A11" s="3">
        <v>3010</v>
      </c>
      <c r="B11" s="4" t="s">
        <v>18</v>
      </c>
      <c r="C11" s="4" t="s">
        <v>9</v>
      </c>
      <c r="D11" s="4">
        <v>107877</v>
      </c>
      <c r="E11" s="6">
        <v>44255</v>
      </c>
      <c r="F11" s="46">
        <f t="shared" ca="1" si="0"/>
        <v>5</v>
      </c>
    </row>
    <row r="12" spans="1:14" ht="15" thickBot="1">
      <c r="A12" s="3">
        <v>3011</v>
      </c>
      <c r="B12" s="4" t="s">
        <v>19</v>
      </c>
      <c r="C12" s="4" t="s">
        <v>6</v>
      </c>
      <c r="D12" s="4">
        <v>107634</v>
      </c>
      <c r="E12" s="6">
        <v>44505</v>
      </c>
      <c r="F12" s="46">
        <f t="shared" ca="1" si="0"/>
        <v>4</v>
      </c>
    </row>
    <row r="13" spans="1:14" ht="15" thickBot="1">
      <c r="A13" s="3">
        <v>3012</v>
      </c>
      <c r="B13" s="4" t="s">
        <v>20</v>
      </c>
      <c r="C13" s="4" t="s">
        <v>6</v>
      </c>
      <c r="D13" s="4">
        <v>35226</v>
      </c>
      <c r="E13" s="6">
        <v>44755</v>
      </c>
      <c r="F13" s="46">
        <f t="shared" ca="1" si="0"/>
        <v>4</v>
      </c>
    </row>
    <row r="14" spans="1:14" ht="15" thickBot="1">
      <c r="A14" s="3">
        <v>3013</v>
      </c>
      <c r="B14" s="4" t="s">
        <v>21</v>
      </c>
      <c r="C14" s="4" t="s">
        <v>9</v>
      </c>
      <c r="D14" s="4">
        <v>40872</v>
      </c>
      <c r="E14" s="6">
        <v>45005</v>
      </c>
      <c r="F14" s="46">
        <f t="shared" ca="1" si="0"/>
        <v>3</v>
      </c>
    </row>
    <row r="15" spans="1:14" ht="15" thickBot="1">
      <c r="A15" s="3">
        <v>3014</v>
      </c>
      <c r="B15" s="4" t="s">
        <v>22</v>
      </c>
      <c r="C15" s="4" t="s">
        <v>9</v>
      </c>
      <c r="D15" s="4">
        <v>55378</v>
      </c>
      <c r="E15" s="6">
        <v>45255</v>
      </c>
      <c r="F15" s="46">
        <f t="shared" ca="1" si="0"/>
        <v>2</v>
      </c>
    </row>
    <row r="16" spans="1:14" ht="15" thickBot="1">
      <c r="A16" s="3">
        <v>3015</v>
      </c>
      <c r="B16" s="4" t="s">
        <v>23</v>
      </c>
      <c r="C16" s="4" t="s">
        <v>9</v>
      </c>
      <c r="D16" s="4">
        <v>63297</v>
      </c>
      <c r="E16" s="6">
        <v>45505</v>
      </c>
      <c r="F16" s="46">
        <f t="shared" ca="1" si="0"/>
        <v>2</v>
      </c>
    </row>
    <row r="17" spans="1:6" ht="15" thickBot="1">
      <c r="A17" s="3">
        <v>3016</v>
      </c>
      <c r="B17" s="4" t="s">
        <v>24</v>
      </c>
      <c r="C17" s="4" t="s">
        <v>6</v>
      </c>
      <c r="D17" s="4">
        <v>114173</v>
      </c>
      <c r="E17" s="6">
        <v>45755</v>
      </c>
      <c r="F17" s="46">
        <f t="shared" ca="1" si="0"/>
        <v>1</v>
      </c>
    </row>
    <row r="18" spans="1:6" ht="15" thickBot="1">
      <c r="A18" s="3">
        <v>3017</v>
      </c>
      <c r="B18" s="4" t="s">
        <v>25</v>
      </c>
      <c r="C18" s="4" t="s">
        <v>9</v>
      </c>
      <c r="D18" s="4">
        <v>86915</v>
      </c>
      <c r="E18" s="6">
        <v>46005</v>
      </c>
      <c r="F18" s="46">
        <f t="shared" ca="1" si="0"/>
        <v>0</v>
      </c>
    </row>
    <row r="19" spans="1:6" ht="15" thickBot="1">
      <c r="A19" s="3">
        <v>3018</v>
      </c>
      <c r="B19" s="4" t="s">
        <v>26</v>
      </c>
      <c r="C19" s="4" t="s">
        <v>12</v>
      </c>
      <c r="D19" s="4">
        <v>116284</v>
      </c>
      <c r="E19" s="6">
        <v>46255</v>
      </c>
      <c r="F19" s="46">
        <f t="shared" ca="1" si="0"/>
        <v>0</v>
      </c>
    </row>
    <row r="20" spans="1:6" ht="15" thickBot="1">
      <c r="A20" s="3">
        <v>3019</v>
      </c>
      <c r="B20" s="4" t="s">
        <v>27</v>
      </c>
      <c r="C20" s="4" t="s">
        <v>15</v>
      </c>
      <c r="D20" s="4">
        <v>116283</v>
      </c>
      <c r="E20" s="6">
        <v>46505</v>
      </c>
      <c r="F20" s="46" t="str">
        <f t="shared" ca="1" si="0"/>
        <v>Not Joined Yet</v>
      </c>
    </row>
    <row r="21" spans="1:6" ht="15" thickBot="1">
      <c r="A21" s="3">
        <v>3020</v>
      </c>
      <c r="B21" s="4" t="s">
        <v>28</v>
      </c>
      <c r="C21" s="4" t="s">
        <v>15</v>
      </c>
      <c r="D21" s="4">
        <v>99924</v>
      </c>
      <c r="E21" s="6">
        <v>46755</v>
      </c>
      <c r="F21" s="46" t="str">
        <f t="shared" ca="1" si="0"/>
        <v>Not Joined Yet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 Grade</vt:lpstr>
      <vt:lpstr>Sale Data</vt:lpstr>
      <vt:lpstr>Employee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jash dolar</dc:creator>
  <cp:lastModifiedBy>jash dolar</cp:lastModifiedBy>
  <dcterms:created xsi:type="dcterms:W3CDTF">2026-10-25T03:26:56Z</dcterms:created>
  <dcterms:modified xsi:type="dcterms:W3CDTF">2026-10-25T06:39:59Z</dcterms:modified>
</cp:coreProperties>
</file>